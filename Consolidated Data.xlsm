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0210"/>
  <workbookPr defaultThemeVersion="166925"/>
  <mc:AlternateContent xmlns:mc="http://schemas.openxmlformats.org/markup-compatibility/2006">
    <mc:Choice Requires="x15">
      <x15ac:absPath xmlns:x15ac="http://schemas.microsoft.com/office/spreadsheetml/2010/11/ac" url="/Users/natasha/Desktop/"/>
    </mc:Choice>
  </mc:AlternateContent>
  <bookViews>
    <workbookView xWindow="500" yWindow="1520" windowWidth="26840" windowHeight="15220"/>
  </bookViews>
  <sheets>
    <sheet name="Health Care Spending per State" sheetId="1" r:id="rId1"/>
    <sheet name="Drug Mortality Rates per State" sheetId="2" r:id="rId2"/>
  </sheets>
  <calcPr calcId="171027"/>
</workbook>
</file>

<file path=xl/calcChain.xml><?xml version="1.0" encoding="utf-8"?>
<calcChain xmlns="http://schemas.openxmlformats.org/spreadsheetml/2006/main">
  <c r="J4" i="1" l="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3" i="1"/>
  <c r="H54" i="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3" i="2"/>
</calcChain>
</file>

<file path=xl/sharedStrings.xml><?xml version="1.0" encoding="utf-8"?>
<sst xmlns="http://schemas.openxmlformats.org/spreadsheetml/2006/main" count="118" uniqueCount="66">
  <si>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</si>
  <si>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</si>
  <si>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</si>
  <si>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</si>
  <si>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</si>
  <si>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</si>
  <si>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</si>
  <si>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</si>
  <si>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</si>
  <si>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</si>
  <si>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</si>
  <si>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</si>
  <si>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</si>
  <si>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</si>
  <si>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</si>
  <si>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</si>
  <si>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</si>
  <si>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</si>
  <si>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</si>
  <si>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</si>
  <si>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</si>
  <si>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</si>
  <si>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</si>
  <si>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</si>
  <si>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</si>
  <si>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</si>
  <si>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</si>
  <si>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</si>
  <si>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</si>
  <si>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</si>
  <si>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</si>
  <si>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</si>
  <si>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</si>
  <si>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</si>
  <si>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</si>
  <si>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</si>
  <si>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</si>
  <si>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</si>
  <si>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</si>
  <si>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</si>
  <si>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</si>
  <si>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</si>
  <si>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</si>
  <si>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</si>
  <si>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</si>
  <si>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</si>
  <si>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</si>
  <si>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</si>
  <si>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</si>
  <si>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</si>
  <si>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</si>
  <si>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Notes</t>
  </si>
  <si>
    <t xml:space="preserve">The Centers for Medicare and Medicaid Services (CMS) Office of the Actuary produces Health Expenditures by State of Residence and Health Expenditures by State of Provider every five years. The State Health Expenditure Accounts are a subcomponent of the National Health Expenditure Accounts (NHEA), the official government estimates of health spending in the United States.  </t>
  </si>
  <si>
    <t xml:space="preserve">Additional information on data and methods is available [here.](http://www.cms.gov/Research-Statistics-Data-and-Systems/Statistics-Trends-and-Reports/NationalHealthExpendData/NationalHealthAccountsStateHealthAccountsResidence.html)  </t>
  </si>
  <si>
    <t>For additional analysis of these data, please see Health Affairs article, ["Health Spending by State, 1991-2014: Measuring Per Capita Spending by Payer and Programs"](http://content.healthaffairs.org/content/early/2017/06/13/hlthaff.2017.0416).</t>
  </si>
  <si>
    <t>Sources</t>
  </si>
  <si>
    <t>Centers for Medicare &amp; Medicaid Services, Office of the Actuary, National Health Statistics Group. [National Health Expenditure Data: Health Expenditures by State of Residence](https://www.cms.gov/Research-Statistics-Data-and-Systems/Statistics-Trends-and-Reports/NationalHealthExpendData/NationalHealthAccountsStateHealthAccountsResidence.html), June 2017.</t>
  </si>
  <si>
    <t>U.S. Population by State, 1991-2014 obtained from the U.S. Bureau of the Census, June 2017.</t>
  </si>
  <si>
    <t>Definitions</t>
  </si>
  <si>
    <t>*Health Spending Per Capita* includes spending for all privately and publicly funded personal health care services and products (hospital care, physician services, nursing home care, prescription drugs, etc.) by state of residence (aggregate spending divided by population). Hospital spending is included and reflects the total net revenue (gross charges less contractual adjustments, bad debts, and charity care). Costs such as insurance program administration, research, and construction expenses are not included in this total.</t>
  </si>
  <si>
    <t>State</t>
  </si>
  <si>
    <t>Change from 2010 - 2014</t>
  </si>
  <si>
    <t>Direction of Change</t>
  </si>
  <si>
    <t>Average Change in Healthcare Spending</t>
  </si>
  <si>
    <t>Change in Healthcare Spending from 2010 - 2014</t>
  </si>
  <si>
    <t>Difference in National Average Change vs State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</si>
</sst>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168" formatCode="0;[Red]0"/>
    <numFmt numFmtId="169" formatCode="#,##0;[Red]#,##0"/>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6" fontId="0" fillId="0" borderId="0" xfId="0" applyNumberFormat="1"/>
    <xf numFmtId="168" fontId="0" fillId="0" borderId="0" xfId="0" applyNumberFormat="1"/>
    <xf numFmtId="169" fontId="0" fillId="0" borderId="0" xfId="0" applyNumberFormat="1"/>
    <xf numFmtId="1" fontId="0" fillId="0" borderId="0" xfId="0" applyNumberFormat="1"/>
    <xf numFmtId="0" fontId="16" fillId="0" borderId="0" xfId="0" applyFont="1"/>
    <xf numFmtId="0" fontId="16" fillId="0" borderId="0" xfId="0" applyFont="1" applyAlignment="1">
      <alignment wrapText="1"/>
    </xf>
    <xf numFmtId="168" fontId="16" fillId="0" borderId="0" xfId="0" applyNumberFormat="1" applyFont="1" applyAlignment="1">
      <alignment wrapText="1"/>
    </xf>
    <xf numFmtId="1" fontId="16" fillId="0" borderId="0" xfId="0" applyNumberFormat="1" applyFont="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1"/>
  <sheetViews>
    <sheetView tabSelected="1" workbookViewId="0">
      <selection activeCell="P41" sqref="P41"/>
    </sheetView>
  </sheetViews>
  <sheetFormatPr baseColWidth="10" defaultRowHeight="16" x14ac:dyDescent="0.2"/>
  <cols>
    <col min="2" max="2" width="10.83203125" style="2"/>
    <col min="3" max="3" width="10.83203125" style="3"/>
    <col min="4" max="4" width="10.83203125" style="4"/>
    <col min="5" max="5" width="10.83203125" style="2"/>
    <col min="6" max="6" width="10.83203125" style="4"/>
    <col min="8" max="9" width="15.83203125" customWidth="1"/>
  </cols>
  <sheetData>
    <row r="1" spans="1:16" s="6" customFormat="1" ht="64" x14ac:dyDescent="0.2">
      <c r="A1" s="6" t="s">
        <v>60</v>
      </c>
      <c r="B1" s="7">
        <v>2010</v>
      </c>
      <c r="C1" s="6">
        <v>2011</v>
      </c>
      <c r="D1" s="8">
        <v>2012</v>
      </c>
      <c r="E1" s="7">
        <v>2013</v>
      </c>
      <c r="F1" s="8">
        <v>2014</v>
      </c>
      <c r="H1" s="6" t="s">
        <v>64</v>
      </c>
      <c r="I1" s="6" t="s">
        <v>65</v>
      </c>
    </row>
    <row r="2" spans="1:16" x14ac:dyDescent="0.2">
      <c r="C2"/>
      <c r="E2"/>
      <c r="H2" s="1"/>
      <c r="I2" s="1"/>
    </row>
    <row r="3" spans="1:16" x14ac:dyDescent="0.2">
      <c r="A3" t="s">
        <v>0</v>
      </c>
      <c r="B3" s="2">
        <v>6421</v>
      </c>
      <c r="C3">
        <v>6541</v>
      </c>
      <c r="D3" s="4">
        <v>6821</v>
      </c>
      <c r="E3">
        <v>6996</v>
      </c>
      <c r="F3" s="4">
        <v>7281</v>
      </c>
      <c r="H3" s="1">
        <f xml:space="preserve"> F3-B3</f>
        <v>860</v>
      </c>
      <c r="I3" s="1">
        <f>H3-$H$54</f>
        <v>-159.45098039215691</v>
      </c>
      <c r="J3">
        <f>SIGN(I3)</f>
        <v>-1</v>
      </c>
    </row>
    <row r="4" spans="1:16" x14ac:dyDescent="0.2">
      <c r="A4" t="s">
        <v>1</v>
      </c>
      <c r="B4" s="2">
        <v>9129</v>
      </c>
      <c r="C4">
        <v>9586</v>
      </c>
      <c r="D4" s="4">
        <v>10130</v>
      </c>
      <c r="E4">
        <v>10428</v>
      </c>
      <c r="F4" s="4">
        <v>11064</v>
      </c>
      <c r="H4" s="1">
        <f t="shared" ref="H4:H53" si="0" xml:space="preserve"> F4-B4</f>
        <v>1935</v>
      </c>
      <c r="I4" s="1">
        <f t="shared" ref="I4:I53" si="1">H4-$H$54</f>
        <v>915.54901960784309</v>
      </c>
      <c r="J4">
        <f t="shared" ref="J4:J53" si="2">SIGN(I4)</f>
        <v>1</v>
      </c>
    </row>
    <row r="5" spans="1:16" x14ac:dyDescent="0.2">
      <c r="A5" t="s">
        <v>2</v>
      </c>
      <c r="B5" s="2">
        <v>6027</v>
      </c>
      <c r="C5">
        <v>6076</v>
      </c>
      <c r="D5" s="4">
        <v>6183</v>
      </c>
      <c r="E5">
        <v>6262</v>
      </c>
      <c r="F5" s="4">
        <v>6452</v>
      </c>
      <c r="H5" s="1">
        <f t="shared" si="0"/>
        <v>425</v>
      </c>
      <c r="I5" s="1">
        <f t="shared" si="1"/>
        <v>-594.45098039215691</v>
      </c>
      <c r="J5">
        <f t="shared" si="2"/>
        <v>-1</v>
      </c>
    </row>
    <row r="6" spans="1:16" x14ac:dyDescent="0.2">
      <c r="A6" t="s">
        <v>3</v>
      </c>
      <c r="B6" s="2">
        <v>6412</v>
      </c>
      <c r="C6">
        <v>6585</v>
      </c>
      <c r="D6" s="4">
        <v>6804</v>
      </c>
      <c r="E6">
        <v>6929</v>
      </c>
      <c r="F6" s="4">
        <v>7408</v>
      </c>
      <c r="H6" s="1">
        <f t="shared" si="0"/>
        <v>996</v>
      </c>
      <c r="I6" s="1">
        <f t="shared" si="1"/>
        <v>-23.450980392156907</v>
      </c>
      <c r="J6">
        <f t="shared" si="2"/>
        <v>-1</v>
      </c>
    </row>
    <row r="7" spans="1:16" x14ac:dyDescent="0.2">
      <c r="A7" t="s">
        <v>4</v>
      </c>
      <c r="B7" s="2">
        <v>6480</v>
      </c>
      <c r="C7">
        <v>6737</v>
      </c>
      <c r="D7" s="4">
        <v>7018</v>
      </c>
      <c r="E7">
        <v>7256</v>
      </c>
      <c r="F7" s="4">
        <v>7549</v>
      </c>
      <c r="H7" s="1">
        <f t="shared" si="0"/>
        <v>1069</v>
      </c>
      <c r="I7" s="1">
        <f t="shared" si="1"/>
        <v>49.549019607843093</v>
      </c>
      <c r="J7">
        <f t="shared" si="2"/>
        <v>1</v>
      </c>
    </row>
    <row r="8" spans="1:16" x14ac:dyDescent="0.2">
      <c r="A8" t="s">
        <v>5</v>
      </c>
      <c r="B8" s="2">
        <v>5979</v>
      </c>
      <c r="C8">
        <v>6129</v>
      </c>
      <c r="D8" s="4">
        <v>6306</v>
      </c>
      <c r="E8">
        <v>6472</v>
      </c>
      <c r="F8" s="4">
        <v>6804</v>
      </c>
      <c r="H8" s="1">
        <f t="shared" si="0"/>
        <v>825</v>
      </c>
      <c r="I8" s="1">
        <f t="shared" si="1"/>
        <v>-194.45098039215691</v>
      </c>
      <c r="J8">
        <f t="shared" si="2"/>
        <v>-1</v>
      </c>
    </row>
    <row r="9" spans="1:16" x14ac:dyDescent="0.2">
      <c r="A9" t="s">
        <v>6</v>
      </c>
      <c r="B9" s="2">
        <v>8863</v>
      </c>
      <c r="C9">
        <v>8950</v>
      </c>
      <c r="D9" s="4">
        <v>9300</v>
      </c>
      <c r="E9">
        <v>9517</v>
      </c>
      <c r="F9" s="4">
        <v>9859</v>
      </c>
      <c r="H9" s="1">
        <f t="shared" si="0"/>
        <v>996</v>
      </c>
      <c r="I9" s="1">
        <f t="shared" si="1"/>
        <v>-23.450980392156907</v>
      </c>
      <c r="J9">
        <f t="shared" si="2"/>
        <v>-1</v>
      </c>
    </row>
    <row r="10" spans="1:16" x14ac:dyDescent="0.2">
      <c r="A10" t="s">
        <v>7</v>
      </c>
      <c r="B10" s="2">
        <v>8822</v>
      </c>
      <c r="C10">
        <v>9213</v>
      </c>
      <c r="D10" s="4">
        <v>9433</v>
      </c>
      <c r="E10">
        <v>9766</v>
      </c>
      <c r="F10" s="4">
        <v>10254</v>
      </c>
      <c r="H10" s="1">
        <f t="shared" si="0"/>
        <v>1432</v>
      </c>
      <c r="I10" s="1">
        <f t="shared" si="1"/>
        <v>412.54901960784309</v>
      </c>
      <c r="J10">
        <f t="shared" si="2"/>
        <v>1</v>
      </c>
      <c r="P10" t="s">
        <v>63</v>
      </c>
    </row>
    <row r="11" spans="1:16" x14ac:dyDescent="0.2">
      <c r="A11" t="s">
        <v>8</v>
      </c>
      <c r="B11" s="2">
        <v>10876</v>
      </c>
      <c r="C11">
        <v>11281</v>
      </c>
      <c r="D11" s="4">
        <v>11223</v>
      </c>
      <c r="E11">
        <v>11466</v>
      </c>
      <c r="F11" s="4">
        <v>11944</v>
      </c>
      <c r="H11" s="1">
        <f t="shared" si="0"/>
        <v>1068</v>
      </c>
      <c r="I11" s="1">
        <f t="shared" si="1"/>
        <v>48.549019607843093</v>
      </c>
      <c r="J11">
        <f t="shared" si="2"/>
        <v>1</v>
      </c>
      <c r="P11">
        <v>1020.7450980392157</v>
      </c>
    </row>
    <row r="12" spans="1:16" x14ac:dyDescent="0.2">
      <c r="A12" t="s">
        <v>9</v>
      </c>
      <c r="B12" s="2">
        <v>7301</v>
      </c>
      <c r="C12">
        <v>7408</v>
      </c>
      <c r="D12" s="4">
        <v>7635</v>
      </c>
      <c r="E12">
        <v>7688</v>
      </c>
      <c r="F12" s="4">
        <v>8076</v>
      </c>
      <c r="H12" s="1">
        <f t="shared" si="0"/>
        <v>775</v>
      </c>
      <c r="I12" s="1">
        <f t="shared" si="1"/>
        <v>-244.45098039215691</v>
      </c>
      <c r="J12">
        <f t="shared" si="2"/>
        <v>-1</v>
      </c>
    </row>
    <row r="13" spans="1:16" x14ac:dyDescent="0.2">
      <c r="A13" t="s">
        <v>10</v>
      </c>
      <c r="B13" s="2">
        <v>5554</v>
      </c>
      <c r="C13">
        <v>5713</v>
      </c>
      <c r="D13" s="4">
        <v>6009</v>
      </c>
      <c r="E13">
        <v>6249</v>
      </c>
      <c r="F13" s="4">
        <v>6587</v>
      </c>
      <c r="H13" s="1">
        <f t="shared" si="0"/>
        <v>1033</v>
      </c>
      <c r="I13" s="1">
        <f t="shared" si="1"/>
        <v>13.549019607843093</v>
      </c>
      <c r="J13">
        <f t="shared" si="2"/>
        <v>1</v>
      </c>
    </row>
    <row r="14" spans="1:16" x14ac:dyDescent="0.2">
      <c r="A14" t="s">
        <v>11</v>
      </c>
      <c r="B14" s="2">
        <v>6496</v>
      </c>
      <c r="C14">
        <v>6527</v>
      </c>
      <c r="D14" s="4">
        <v>6803</v>
      </c>
      <c r="E14">
        <v>6955</v>
      </c>
      <c r="F14" s="4">
        <v>7299</v>
      </c>
      <c r="H14" s="1">
        <f t="shared" si="0"/>
        <v>803</v>
      </c>
      <c r="I14" s="1">
        <f t="shared" si="1"/>
        <v>-216.45098039215691</v>
      </c>
      <c r="J14">
        <f t="shared" si="2"/>
        <v>-1</v>
      </c>
    </row>
    <row r="15" spans="1:16" x14ac:dyDescent="0.2">
      <c r="A15" t="s">
        <v>12</v>
      </c>
      <c r="B15" s="2">
        <v>5999</v>
      </c>
      <c r="C15">
        <v>6135</v>
      </c>
      <c r="D15" s="4">
        <v>6380</v>
      </c>
      <c r="E15">
        <v>6593</v>
      </c>
      <c r="F15" s="4">
        <v>6927</v>
      </c>
      <c r="H15" s="1">
        <f t="shared" si="0"/>
        <v>928</v>
      </c>
      <c r="I15" s="1">
        <f t="shared" si="1"/>
        <v>-91.450980392156907</v>
      </c>
      <c r="J15">
        <f t="shared" si="2"/>
        <v>-1</v>
      </c>
    </row>
    <row r="16" spans="1:16" x14ac:dyDescent="0.2">
      <c r="A16" t="s">
        <v>13</v>
      </c>
      <c r="B16" s="2">
        <v>7253</v>
      </c>
      <c r="C16">
        <v>7429</v>
      </c>
      <c r="D16" s="4">
        <v>7665</v>
      </c>
      <c r="E16">
        <v>7911</v>
      </c>
      <c r="F16" s="4">
        <v>8262</v>
      </c>
      <c r="H16" s="1">
        <f t="shared" si="0"/>
        <v>1009</v>
      </c>
      <c r="I16" s="1">
        <f t="shared" si="1"/>
        <v>-10.450980392156907</v>
      </c>
      <c r="J16">
        <f t="shared" si="2"/>
        <v>-1</v>
      </c>
    </row>
    <row r="17" spans="1:10" x14ac:dyDescent="0.2">
      <c r="A17" t="s">
        <v>14</v>
      </c>
      <c r="B17" s="2">
        <v>6987</v>
      </c>
      <c r="C17">
        <v>7286</v>
      </c>
      <c r="D17" s="4">
        <v>7848</v>
      </c>
      <c r="E17">
        <v>7923</v>
      </c>
      <c r="F17" s="4">
        <v>8300</v>
      </c>
      <c r="H17" s="1">
        <f t="shared" si="0"/>
        <v>1313</v>
      </c>
      <c r="I17" s="1">
        <f t="shared" si="1"/>
        <v>293.54901960784309</v>
      </c>
      <c r="J17">
        <f t="shared" si="2"/>
        <v>1</v>
      </c>
    </row>
    <row r="18" spans="1:10" x14ac:dyDescent="0.2">
      <c r="A18" t="s">
        <v>15</v>
      </c>
      <c r="B18" s="2">
        <v>7177</v>
      </c>
      <c r="C18">
        <v>7416</v>
      </c>
      <c r="D18" s="4">
        <v>7648</v>
      </c>
      <c r="E18">
        <v>7806</v>
      </c>
      <c r="F18" s="4">
        <v>8200</v>
      </c>
      <c r="H18" s="1">
        <f t="shared" si="0"/>
        <v>1023</v>
      </c>
      <c r="I18" s="1">
        <f t="shared" si="1"/>
        <v>3.5490196078430927</v>
      </c>
      <c r="J18">
        <f t="shared" si="2"/>
        <v>1</v>
      </c>
    </row>
    <row r="19" spans="1:10" x14ac:dyDescent="0.2">
      <c r="A19" t="s">
        <v>16</v>
      </c>
      <c r="B19" s="2">
        <v>6858</v>
      </c>
      <c r="C19">
        <v>7152</v>
      </c>
      <c r="D19" s="4">
        <v>7477</v>
      </c>
      <c r="E19">
        <v>7429</v>
      </c>
      <c r="F19" s="4">
        <v>7651</v>
      </c>
      <c r="H19" s="1">
        <f t="shared" si="0"/>
        <v>793</v>
      </c>
      <c r="I19" s="1">
        <f t="shared" si="1"/>
        <v>-226.45098039215691</v>
      </c>
      <c r="J19">
        <f t="shared" si="2"/>
        <v>-1</v>
      </c>
    </row>
    <row r="20" spans="1:10" x14ac:dyDescent="0.2">
      <c r="A20" t="s">
        <v>17</v>
      </c>
      <c r="B20" s="2">
        <v>6898</v>
      </c>
      <c r="C20">
        <v>7142</v>
      </c>
      <c r="D20" s="4">
        <v>7289</v>
      </c>
      <c r="E20">
        <v>7543</v>
      </c>
      <c r="F20" s="4">
        <v>8004</v>
      </c>
      <c r="H20" s="1">
        <f t="shared" si="0"/>
        <v>1106</v>
      </c>
      <c r="I20" s="1">
        <f t="shared" si="1"/>
        <v>86.549019607843093</v>
      </c>
      <c r="J20">
        <f t="shared" si="2"/>
        <v>1</v>
      </c>
    </row>
    <row r="21" spans="1:10" x14ac:dyDescent="0.2">
      <c r="A21" t="s">
        <v>18</v>
      </c>
      <c r="B21" s="2">
        <v>7227</v>
      </c>
      <c r="C21">
        <v>7161</v>
      </c>
      <c r="D21" s="4">
        <v>7303</v>
      </c>
      <c r="E21">
        <v>7487</v>
      </c>
      <c r="F21" s="4">
        <v>7815</v>
      </c>
      <c r="H21" s="1">
        <f t="shared" si="0"/>
        <v>588</v>
      </c>
      <c r="I21" s="1">
        <f t="shared" si="1"/>
        <v>-431.45098039215691</v>
      </c>
      <c r="J21">
        <f t="shared" si="2"/>
        <v>-1</v>
      </c>
    </row>
    <row r="22" spans="1:10" x14ac:dyDescent="0.2">
      <c r="A22" t="s">
        <v>19</v>
      </c>
      <c r="B22" s="2">
        <v>8539</v>
      </c>
      <c r="C22">
        <v>8824</v>
      </c>
      <c r="D22" s="4">
        <v>9001</v>
      </c>
      <c r="E22">
        <v>9133</v>
      </c>
      <c r="F22" s="4">
        <v>9531</v>
      </c>
      <c r="H22" s="1">
        <f t="shared" si="0"/>
        <v>992</v>
      </c>
      <c r="I22" s="1">
        <f t="shared" si="1"/>
        <v>-27.450980392156907</v>
      </c>
      <c r="J22">
        <f t="shared" si="2"/>
        <v>-1</v>
      </c>
    </row>
    <row r="23" spans="1:10" x14ac:dyDescent="0.2">
      <c r="A23" t="s">
        <v>20</v>
      </c>
      <c r="B23" s="2">
        <v>7748</v>
      </c>
      <c r="C23">
        <v>7937</v>
      </c>
      <c r="D23" s="4">
        <v>8115</v>
      </c>
      <c r="E23">
        <v>8250</v>
      </c>
      <c r="F23" s="4">
        <v>8602</v>
      </c>
      <c r="H23" s="1">
        <f t="shared" si="0"/>
        <v>854</v>
      </c>
      <c r="I23" s="1">
        <f t="shared" si="1"/>
        <v>-165.45098039215691</v>
      </c>
      <c r="J23">
        <f t="shared" si="2"/>
        <v>-1</v>
      </c>
    </row>
    <row r="24" spans="1:10" x14ac:dyDescent="0.2">
      <c r="A24" t="s">
        <v>21</v>
      </c>
      <c r="B24" s="2">
        <v>9619</v>
      </c>
      <c r="C24">
        <v>9818</v>
      </c>
      <c r="D24" s="4">
        <v>10071</v>
      </c>
      <c r="E24">
        <v>10273</v>
      </c>
      <c r="F24" s="4">
        <v>10559</v>
      </c>
      <c r="H24" s="1">
        <f t="shared" si="0"/>
        <v>940</v>
      </c>
      <c r="I24" s="1">
        <f t="shared" si="1"/>
        <v>-79.450980392156907</v>
      </c>
      <c r="J24">
        <f t="shared" si="2"/>
        <v>-1</v>
      </c>
    </row>
    <row r="25" spans="1:10" x14ac:dyDescent="0.2">
      <c r="A25" t="s">
        <v>22</v>
      </c>
      <c r="B25" s="2">
        <v>7121</v>
      </c>
      <c r="C25">
        <v>7406</v>
      </c>
      <c r="D25" s="4">
        <v>7637</v>
      </c>
      <c r="E25">
        <v>7745</v>
      </c>
      <c r="F25" s="4">
        <v>8055</v>
      </c>
      <c r="H25" s="1">
        <f t="shared" si="0"/>
        <v>934</v>
      </c>
      <c r="I25" s="1">
        <f t="shared" si="1"/>
        <v>-85.450980392156907</v>
      </c>
      <c r="J25">
        <f t="shared" si="2"/>
        <v>-1</v>
      </c>
    </row>
    <row r="26" spans="1:10" x14ac:dyDescent="0.2">
      <c r="A26" t="s">
        <v>23</v>
      </c>
      <c r="B26" s="2">
        <v>7782</v>
      </c>
      <c r="C26">
        <v>7968</v>
      </c>
      <c r="D26" s="4">
        <v>8177</v>
      </c>
      <c r="E26">
        <v>8465</v>
      </c>
      <c r="F26" s="4">
        <v>8871</v>
      </c>
      <c r="H26" s="1">
        <f t="shared" si="0"/>
        <v>1089</v>
      </c>
      <c r="I26" s="1">
        <f t="shared" si="1"/>
        <v>69.549019607843093</v>
      </c>
      <c r="J26">
        <f t="shared" si="2"/>
        <v>1</v>
      </c>
    </row>
    <row r="27" spans="1:10" x14ac:dyDescent="0.2">
      <c r="A27" t="s">
        <v>24</v>
      </c>
      <c r="B27" s="2">
        <v>6642</v>
      </c>
      <c r="C27">
        <v>6833</v>
      </c>
      <c r="D27" s="4">
        <v>7369</v>
      </c>
      <c r="E27">
        <v>7362</v>
      </c>
      <c r="F27" s="4">
        <v>7646</v>
      </c>
      <c r="H27" s="1">
        <f t="shared" si="0"/>
        <v>1004</v>
      </c>
      <c r="I27" s="1">
        <f t="shared" si="1"/>
        <v>-15.450980392156907</v>
      </c>
      <c r="J27">
        <f t="shared" si="2"/>
        <v>-1</v>
      </c>
    </row>
    <row r="28" spans="1:10" x14ac:dyDescent="0.2">
      <c r="A28" t="s">
        <v>25</v>
      </c>
      <c r="B28" s="2">
        <v>7114</v>
      </c>
      <c r="C28">
        <v>7441</v>
      </c>
      <c r="D28" s="4">
        <v>7758</v>
      </c>
      <c r="E28">
        <v>7860</v>
      </c>
      <c r="F28" s="4">
        <v>8107</v>
      </c>
      <c r="H28" s="1">
        <f t="shared" si="0"/>
        <v>993</v>
      </c>
      <c r="I28" s="1">
        <f t="shared" si="1"/>
        <v>-26.450980392156907</v>
      </c>
      <c r="J28">
        <f t="shared" si="2"/>
        <v>-1</v>
      </c>
    </row>
    <row r="29" spans="1:10" x14ac:dyDescent="0.2">
      <c r="A29" t="s">
        <v>26</v>
      </c>
      <c r="B29" s="2">
        <v>7034</v>
      </c>
      <c r="C29">
        <v>7301</v>
      </c>
      <c r="D29" s="4">
        <v>7645</v>
      </c>
      <c r="E29">
        <v>7994</v>
      </c>
      <c r="F29" s="4">
        <v>8221</v>
      </c>
      <c r="H29" s="1">
        <f t="shared" si="0"/>
        <v>1187</v>
      </c>
      <c r="I29" s="1">
        <f t="shared" si="1"/>
        <v>167.54901960784309</v>
      </c>
      <c r="J29">
        <f t="shared" si="2"/>
        <v>1</v>
      </c>
    </row>
    <row r="30" spans="1:10" x14ac:dyDescent="0.2">
      <c r="A30" t="s">
        <v>27</v>
      </c>
      <c r="B30" s="2">
        <v>7524</v>
      </c>
      <c r="C30">
        <v>7715</v>
      </c>
      <c r="D30" s="4">
        <v>7979</v>
      </c>
      <c r="E30">
        <v>8133</v>
      </c>
      <c r="F30" s="4">
        <v>8412</v>
      </c>
      <c r="H30" s="1">
        <f t="shared" si="0"/>
        <v>888</v>
      </c>
      <c r="I30" s="1">
        <f t="shared" si="1"/>
        <v>-131.45098039215691</v>
      </c>
      <c r="J30">
        <f t="shared" si="2"/>
        <v>-1</v>
      </c>
    </row>
    <row r="31" spans="1:10" x14ac:dyDescent="0.2">
      <c r="A31" t="s">
        <v>28</v>
      </c>
      <c r="B31" s="2">
        <v>5790</v>
      </c>
      <c r="C31">
        <v>5959</v>
      </c>
      <c r="D31" s="4">
        <v>6026</v>
      </c>
      <c r="E31">
        <v>6275</v>
      </c>
      <c r="F31" s="4">
        <v>6714</v>
      </c>
      <c r="H31" s="1">
        <f t="shared" si="0"/>
        <v>924</v>
      </c>
      <c r="I31" s="1">
        <f t="shared" si="1"/>
        <v>-95.450980392156907</v>
      </c>
      <c r="J31">
        <f t="shared" si="2"/>
        <v>-1</v>
      </c>
    </row>
    <row r="32" spans="1:10" x14ac:dyDescent="0.2">
      <c r="A32" t="s">
        <v>29</v>
      </c>
      <c r="B32" s="2">
        <v>8466</v>
      </c>
      <c r="C32">
        <v>8766</v>
      </c>
      <c r="D32" s="4">
        <v>9048</v>
      </c>
      <c r="E32">
        <v>9369</v>
      </c>
      <c r="F32" s="4">
        <v>9589</v>
      </c>
      <c r="H32" s="1">
        <f t="shared" si="0"/>
        <v>1123</v>
      </c>
      <c r="I32" s="1">
        <f t="shared" si="1"/>
        <v>103.54901960784309</v>
      </c>
      <c r="J32">
        <f t="shared" si="2"/>
        <v>1</v>
      </c>
    </row>
    <row r="33" spans="1:10" x14ac:dyDescent="0.2">
      <c r="A33" t="s">
        <v>30</v>
      </c>
      <c r="B33" s="2">
        <v>7778</v>
      </c>
      <c r="C33">
        <v>7947</v>
      </c>
      <c r="D33" s="4">
        <v>8269</v>
      </c>
      <c r="E33">
        <v>8444</v>
      </c>
      <c r="F33" s="4">
        <v>8859</v>
      </c>
      <c r="H33" s="1">
        <f t="shared" si="0"/>
        <v>1081</v>
      </c>
      <c r="I33" s="1">
        <f t="shared" si="1"/>
        <v>61.549019607843093</v>
      </c>
      <c r="J33">
        <f t="shared" si="2"/>
        <v>1</v>
      </c>
    </row>
    <row r="34" spans="1:10" x14ac:dyDescent="0.2">
      <c r="A34" t="s">
        <v>31</v>
      </c>
      <c r="B34" s="2">
        <v>6439</v>
      </c>
      <c r="C34">
        <v>6567</v>
      </c>
      <c r="D34" s="4">
        <v>6771</v>
      </c>
      <c r="E34">
        <v>6860</v>
      </c>
      <c r="F34" s="4">
        <v>7214</v>
      </c>
      <c r="H34" s="1">
        <f t="shared" si="0"/>
        <v>775</v>
      </c>
      <c r="I34" s="1">
        <f t="shared" si="1"/>
        <v>-244.45098039215691</v>
      </c>
      <c r="J34">
        <f t="shared" si="2"/>
        <v>-1</v>
      </c>
    </row>
    <row r="35" spans="1:10" x14ac:dyDescent="0.2">
      <c r="A35" t="s">
        <v>32</v>
      </c>
      <c r="B35" s="2">
        <v>8795</v>
      </c>
      <c r="C35">
        <v>9016</v>
      </c>
      <c r="D35" s="4">
        <v>9076</v>
      </c>
      <c r="E35">
        <v>9351</v>
      </c>
      <c r="F35" s="4">
        <v>9778</v>
      </c>
      <c r="H35" s="1">
        <f t="shared" si="0"/>
        <v>983</v>
      </c>
      <c r="I35" s="1">
        <f t="shared" si="1"/>
        <v>-36.450980392156907</v>
      </c>
      <c r="J35">
        <f t="shared" si="2"/>
        <v>-1</v>
      </c>
    </row>
    <row r="36" spans="1:10" x14ac:dyDescent="0.2">
      <c r="A36" t="s">
        <v>33</v>
      </c>
      <c r="B36" s="2">
        <v>6615</v>
      </c>
      <c r="C36">
        <v>6808</v>
      </c>
      <c r="D36" s="4">
        <v>7073</v>
      </c>
      <c r="E36">
        <v>7027</v>
      </c>
      <c r="F36" s="4">
        <v>7264</v>
      </c>
      <c r="H36" s="1">
        <f t="shared" si="0"/>
        <v>649</v>
      </c>
      <c r="I36" s="1">
        <f t="shared" si="1"/>
        <v>-370.45098039215691</v>
      </c>
      <c r="J36">
        <f t="shared" si="2"/>
        <v>-1</v>
      </c>
    </row>
    <row r="37" spans="1:10" x14ac:dyDescent="0.2">
      <c r="A37" t="s">
        <v>34</v>
      </c>
      <c r="B37" s="2">
        <v>8325</v>
      </c>
      <c r="C37">
        <v>8758</v>
      </c>
      <c r="D37" s="4">
        <v>8977</v>
      </c>
      <c r="E37">
        <v>9385</v>
      </c>
      <c r="F37" s="4">
        <v>9851</v>
      </c>
      <c r="H37" s="1">
        <f t="shared" si="0"/>
        <v>1526</v>
      </c>
      <c r="I37" s="1">
        <f t="shared" si="1"/>
        <v>506.54901960784309</v>
      </c>
      <c r="J37">
        <f t="shared" si="2"/>
        <v>1</v>
      </c>
    </row>
    <row r="38" spans="1:10" x14ac:dyDescent="0.2">
      <c r="A38" t="s">
        <v>35</v>
      </c>
      <c r="B38" s="2">
        <v>7525</v>
      </c>
      <c r="C38">
        <v>7652</v>
      </c>
      <c r="D38" s="4">
        <v>8072</v>
      </c>
      <c r="E38">
        <v>8286</v>
      </c>
      <c r="F38" s="4">
        <v>8712</v>
      </c>
      <c r="H38" s="1">
        <f t="shared" si="0"/>
        <v>1187</v>
      </c>
      <c r="I38" s="1">
        <f t="shared" si="1"/>
        <v>167.54901960784309</v>
      </c>
      <c r="J38">
        <f t="shared" si="2"/>
        <v>1</v>
      </c>
    </row>
    <row r="39" spans="1:10" x14ac:dyDescent="0.2">
      <c r="A39" t="s">
        <v>36</v>
      </c>
      <c r="B39" s="2">
        <v>6648</v>
      </c>
      <c r="C39">
        <v>6921</v>
      </c>
      <c r="D39" s="4">
        <v>7175</v>
      </c>
      <c r="E39">
        <v>7293</v>
      </c>
      <c r="F39" s="4">
        <v>7627</v>
      </c>
      <c r="H39" s="1">
        <f t="shared" si="0"/>
        <v>979</v>
      </c>
      <c r="I39" s="1">
        <f t="shared" si="1"/>
        <v>-40.450980392156907</v>
      </c>
      <c r="J39">
        <f t="shared" si="2"/>
        <v>-1</v>
      </c>
    </row>
    <row r="40" spans="1:10" x14ac:dyDescent="0.2">
      <c r="A40" t="s">
        <v>37</v>
      </c>
      <c r="B40" s="2">
        <v>6729</v>
      </c>
      <c r="C40">
        <v>6971</v>
      </c>
      <c r="D40" s="4">
        <v>7119</v>
      </c>
      <c r="E40">
        <v>7467</v>
      </c>
      <c r="F40" s="4">
        <v>8044</v>
      </c>
      <c r="H40" s="1">
        <f t="shared" si="0"/>
        <v>1315</v>
      </c>
      <c r="I40" s="1">
        <f t="shared" si="1"/>
        <v>295.54901960784309</v>
      </c>
      <c r="J40">
        <f t="shared" si="2"/>
        <v>1</v>
      </c>
    </row>
    <row r="41" spans="1:10" x14ac:dyDescent="0.2">
      <c r="A41" t="s">
        <v>38</v>
      </c>
      <c r="B41" s="2">
        <v>8121</v>
      </c>
      <c r="C41">
        <v>8432</v>
      </c>
      <c r="D41" s="4">
        <v>8632</v>
      </c>
      <c r="E41">
        <v>8877</v>
      </c>
      <c r="F41" s="4">
        <v>9258</v>
      </c>
      <c r="H41" s="1">
        <f t="shared" si="0"/>
        <v>1137</v>
      </c>
      <c r="I41" s="1">
        <f t="shared" si="1"/>
        <v>117.54901960784309</v>
      </c>
      <c r="J41">
        <f t="shared" si="2"/>
        <v>1</v>
      </c>
    </row>
    <row r="42" spans="1:10" x14ac:dyDescent="0.2">
      <c r="A42" t="s">
        <v>39</v>
      </c>
      <c r="B42" s="2">
        <v>8569</v>
      </c>
      <c r="C42">
        <v>8782</v>
      </c>
      <c r="D42" s="4">
        <v>8961</v>
      </c>
      <c r="E42">
        <v>9160</v>
      </c>
      <c r="F42" s="4">
        <v>9551</v>
      </c>
      <c r="H42" s="1">
        <f t="shared" si="0"/>
        <v>982</v>
      </c>
      <c r="I42" s="1">
        <f t="shared" si="1"/>
        <v>-37.450980392156907</v>
      </c>
      <c r="J42">
        <f t="shared" si="2"/>
        <v>-1</v>
      </c>
    </row>
    <row r="43" spans="1:10" x14ac:dyDescent="0.2">
      <c r="A43" t="s">
        <v>40</v>
      </c>
      <c r="B43" s="2">
        <v>6554</v>
      </c>
      <c r="C43">
        <v>6707</v>
      </c>
      <c r="D43" s="4">
        <v>6853</v>
      </c>
      <c r="E43">
        <v>7020</v>
      </c>
      <c r="F43" s="4">
        <v>7311</v>
      </c>
      <c r="H43" s="1">
        <f t="shared" si="0"/>
        <v>757</v>
      </c>
      <c r="I43" s="1">
        <f t="shared" si="1"/>
        <v>-262.45098039215691</v>
      </c>
      <c r="J43">
        <f t="shared" si="2"/>
        <v>-1</v>
      </c>
    </row>
    <row r="44" spans="1:10" x14ac:dyDescent="0.2">
      <c r="A44" t="s">
        <v>41</v>
      </c>
      <c r="B44" s="2">
        <v>7704</v>
      </c>
      <c r="C44">
        <v>8065</v>
      </c>
      <c r="D44" s="4">
        <v>8335</v>
      </c>
      <c r="E44">
        <v>8547</v>
      </c>
      <c r="F44" s="4">
        <v>8933</v>
      </c>
      <c r="H44" s="1">
        <f t="shared" si="0"/>
        <v>1229</v>
      </c>
      <c r="I44" s="1">
        <f t="shared" si="1"/>
        <v>209.54901960784309</v>
      </c>
      <c r="J44">
        <f t="shared" si="2"/>
        <v>1</v>
      </c>
    </row>
    <row r="45" spans="1:10" x14ac:dyDescent="0.2">
      <c r="A45" t="s">
        <v>42</v>
      </c>
      <c r="B45" s="2">
        <v>6626</v>
      </c>
      <c r="C45">
        <v>6742</v>
      </c>
      <c r="D45" s="4">
        <v>7007</v>
      </c>
      <c r="E45">
        <v>7106</v>
      </c>
      <c r="F45" s="4">
        <v>7372</v>
      </c>
      <c r="H45" s="1">
        <f t="shared" si="0"/>
        <v>746</v>
      </c>
      <c r="I45" s="1">
        <f t="shared" si="1"/>
        <v>-273.45098039215691</v>
      </c>
      <c r="J45">
        <f t="shared" si="2"/>
        <v>-1</v>
      </c>
    </row>
    <row r="46" spans="1:10" x14ac:dyDescent="0.2">
      <c r="A46" t="s">
        <v>43</v>
      </c>
      <c r="B46" s="2">
        <v>6162</v>
      </c>
      <c r="C46">
        <v>6328</v>
      </c>
      <c r="D46" s="4">
        <v>6559</v>
      </c>
      <c r="E46">
        <v>6661</v>
      </c>
      <c r="F46" s="4">
        <v>6998</v>
      </c>
      <c r="H46" s="1">
        <f t="shared" si="0"/>
        <v>836</v>
      </c>
      <c r="I46" s="1">
        <f t="shared" si="1"/>
        <v>-183.45098039215691</v>
      </c>
      <c r="J46">
        <f t="shared" si="2"/>
        <v>-1</v>
      </c>
    </row>
    <row r="47" spans="1:10" x14ac:dyDescent="0.2">
      <c r="A47" t="s">
        <v>44</v>
      </c>
      <c r="B47" s="2">
        <v>5171</v>
      </c>
      <c r="C47">
        <v>5341</v>
      </c>
      <c r="D47" s="4">
        <v>5543</v>
      </c>
      <c r="E47">
        <v>5658</v>
      </c>
      <c r="F47" s="4">
        <v>5982</v>
      </c>
      <c r="H47" s="1">
        <f t="shared" si="0"/>
        <v>811</v>
      </c>
      <c r="I47" s="1">
        <f t="shared" si="1"/>
        <v>-208.45098039215691</v>
      </c>
      <c r="J47">
        <f t="shared" si="2"/>
        <v>-1</v>
      </c>
    </row>
    <row r="48" spans="1:10" x14ac:dyDescent="0.2">
      <c r="A48" t="s">
        <v>45</v>
      </c>
      <c r="B48" s="2">
        <v>8488</v>
      </c>
      <c r="C48">
        <v>8874</v>
      </c>
      <c r="D48" s="4">
        <v>9302</v>
      </c>
      <c r="E48">
        <v>9919</v>
      </c>
      <c r="F48" s="4">
        <v>10190</v>
      </c>
      <c r="H48" s="1">
        <f t="shared" si="0"/>
        <v>1702</v>
      </c>
      <c r="I48" s="1">
        <f t="shared" si="1"/>
        <v>682.54901960784309</v>
      </c>
      <c r="J48">
        <f t="shared" si="2"/>
        <v>1</v>
      </c>
    </row>
    <row r="49" spans="1:10" x14ac:dyDescent="0.2">
      <c r="A49" t="s">
        <v>46</v>
      </c>
      <c r="B49" s="2">
        <v>6610</v>
      </c>
      <c r="C49">
        <v>6877</v>
      </c>
      <c r="D49" s="4">
        <v>7145</v>
      </c>
      <c r="E49">
        <v>7306</v>
      </c>
      <c r="F49" s="4">
        <v>7556</v>
      </c>
      <c r="H49" s="1">
        <f t="shared" si="0"/>
        <v>946</v>
      </c>
      <c r="I49" s="1">
        <f t="shared" si="1"/>
        <v>-73.450980392156907</v>
      </c>
      <c r="J49">
        <f t="shared" si="2"/>
        <v>-1</v>
      </c>
    </row>
    <row r="50" spans="1:10" x14ac:dyDescent="0.2">
      <c r="A50" t="s">
        <v>47</v>
      </c>
      <c r="B50" s="2">
        <v>6981</v>
      </c>
      <c r="C50">
        <v>7119</v>
      </c>
      <c r="D50" s="4">
        <v>7461</v>
      </c>
      <c r="E50">
        <v>7609</v>
      </c>
      <c r="F50" s="4">
        <v>7913</v>
      </c>
      <c r="H50" s="1">
        <f t="shared" si="0"/>
        <v>932</v>
      </c>
      <c r="I50" s="1">
        <f t="shared" si="1"/>
        <v>-87.450980392156907</v>
      </c>
      <c r="J50">
        <f t="shared" si="2"/>
        <v>-1</v>
      </c>
    </row>
    <row r="51" spans="1:10" x14ac:dyDescent="0.2">
      <c r="A51" t="s">
        <v>48</v>
      </c>
      <c r="B51" s="2">
        <v>7960</v>
      </c>
      <c r="C51">
        <v>8268</v>
      </c>
      <c r="D51" s="4">
        <v>8764</v>
      </c>
      <c r="E51">
        <v>8969</v>
      </c>
      <c r="F51" s="4">
        <v>9462</v>
      </c>
      <c r="H51" s="1">
        <f t="shared" si="0"/>
        <v>1502</v>
      </c>
      <c r="I51" s="1">
        <f t="shared" si="1"/>
        <v>482.54901960784309</v>
      </c>
      <c r="J51">
        <f t="shared" si="2"/>
        <v>1</v>
      </c>
    </row>
    <row r="52" spans="1:10" x14ac:dyDescent="0.2">
      <c r="A52" t="s">
        <v>49</v>
      </c>
      <c r="B52" s="2">
        <v>7709</v>
      </c>
      <c r="C52">
        <v>7971</v>
      </c>
      <c r="D52" s="4">
        <v>8061</v>
      </c>
      <c r="E52">
        <v>8189</v>
      </c>
      <c r="F52" s="4">
        <v>8702</v>
      </c>
      <c r="H52" s="1">
        <f t="shared" si="0"/>
        <v>993</v>
      </c>
      <c r="I52" s="1">
        <f t="shared" si="1"/>
        <v>-26.450980392156907</v>
      </c>
      <c r="J52">
        <f t="shared" si="2"/>
        <v>-1</v>
      </c>
    </row>
    <row r="53" spans="1:10" x14ac:dyDescent="0.2">
      <c r="A53" t="s">
        <v>50</v>
      </c>
      <c r="B53" s="2">
        <v>7301</v>
      </c>
      <c r="C53">
        <v>7554</v>
      </c>
      <c r="D53" s="4">
        <v>7833</v>
      </c>
      <c r="E53">
        <v>7961</v>
      </c>
      <c r="F53" s="4">
        <v>8320</v>
      </c>
      <c r="H53" s="1">
        <f t="shared" si="0"/>
        <v>1019</v>
      </c>
      <c r="I53" s="1">
        <f t="shared" si="1"/>
        <v>-0.45098039215690733</v>
      </c>
      <c r="J53">
        <f t="shared" si="2"/>
        <v>-1</v>
      </c>
    </row>
    <row r="54" spans="1:10" x14ac:dyDescent="0.2">
      <c r="C54"/>
      <c r="E54"/>
      <c r="H54">
        <f>AVERAGE(H1:H53)</f>
        <v>1019.4509803921569</v>
      </c>
    </row>
    <row r="55" spans="1:10" x14ac:dyDescent="0.2">
      <c r="A55" t="s">
        <v>51</v>
      </c>
      <c r="C55"/>
      <c r="E55"/>
    </row>
    <row r="56" spans="1:10" x14ac:dyDescent="0.2">
      <c r="A56" t="s">
        <v>52</v>
      </c>
      <c r="C56"/>
      <c r="E56"/>
    </row>
    <row r="57" spans="1:10" x14ac:dyDescent="0.2">
      <c r="C57"/>
      <c r="E57"/>
    </row>
    <row r="58" spans="1:10" x14ac:dyDescent="0.2">
      <c r="A58" t="s">
        <v>53</v>
      </c>
      <c r="C58"/>
      <c r="E58"/>
    </row>
    <row r="59" spans="1:10" x14ac:dyDescent="0.2">
      <c r="C59"/>
      <c r="E59"/>
    </row>
    <row r="60" spans="1:10" x14ac:dyDescent="0.2">
      <c r="A60" t="s">
        <v>54</v>
      </c>
      <c r="C60"/>
      <c r="E60"/>
    </row>
    <row r="61" spans="1:10" x14ac:dyDescent="0.2">
      <c r="C61"/>
      <c r="E61"/>
    </row>
    <row r="62" spans="1:10" x14ac:dyDescent="0.2">
      <c r="A62" t="s">
        <v>55</v>
      </c>
      <c r="C62"/>
      <c r="E62"/>
    </row>
    <row r="63" spans="1:10" x14ac:dyDescent="0.2">
      <c r="A63" t="s">
        <v>56</v>
      </c>
      <c r="C63"/>
      <c r="E63"/>
    </row>
    <row r="64" spans="1:10" x14ac:dyDescent="0.2">
      <c r="C64"/>
      <c r="E64"/>
    </row>
    <row r="65" spans="1:5" x14ac:dyDescent="0.2">
      <c r="A65" t="s">
        <v>57</v>
      </c>
      <c r="C65"/>
      <c r="E65"/>
    </row>
    <row r="66" spans="1:5" x14ac:dyDescent="0.2">
      <c r="C66"/>
      <c r="E66"/>
    </row>
    <row r="67" spans="1:5" x14ac:dyDescent="0.2">
      <c r="A67" t="s">
        <v>58</v>
      </c>
      <c r="C67"/>
      <c r="E67"/>
    </row>
    <row r="68" spans="1:5" x14ac:dyDescent="0.2">
      <c r="A68" t="s">
        <v>59</v>
      </c>
      <c r="C68"/>
      <c r="E68"/>
    </row>
    <row r="69" spans="1:5" x14ac:dyDescent="0.2">
      <c r="E69"/>
    </row>
    <row r="70" spans="1:5" x14ac:dyDescent="0.2">
      <c r="E70"/>
    </row>
    <row r="71" spans="1:5" x14ac:dyDescent="0.2">
      <c r="E71"/>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3"/>
  <sheetViews>
    <sheetView workbookViewId="0">
      <selection activeCell="H3" sqref="H3"/>
    </sheetView>
  </sheetViews>
  <sheetFormatPr baseColWidth="10" defaultRowHeight="16" x14ac:dyDescent="0.2"/>
  <cols>
    <col min="1" max="1" width="17.5" bestFit="1" customWidth="1"/>
    <col min="8" max="8" width="22.1640625" bestFit="1" customWidth="1"/>
    <col min="9" max="9" width="17.5" bestFit="1" customWidth="1"/>
  </cols>
  <sheetData>
    <row r="1" spans="1:9" s="5" customFormat="1" x14ac:dyDescent="0.2">
      <c r="A1" s="5" t="s">
        <v>60</v>
      </c>
      <c r="B1" s="5">
        <v>2010</v>
      </c>
      <c r="C1" s="5">
        <v>2011</v>
      </c>
      <c r="D1" s="5">
        <v>2012</v>
      </c>
      <c r="E1" s="5">
        <v>2013</v>
      </c>
      <c r="F1" s="5">
        <v>2014</v>
      </c>
      <c r="H1" s="5" t="s">
        <v>61</v>
      </c>
      <c r="I1" s="5" t="s">
        <v>62</v>
      </c>
    </row>
    <row r="2" spans="1:9" s="5" customFormat="1" x14ac:dyDescent="0.2"/>
    <row r="3" spans="1:9" x14ac:dyDescent="0.2">
      <c r="A3" t="s">
        <v>0</v>
      </c>
      <c r="B3">
        <v>11.444100000000001</v>
      </c>
      <c r="C3">
        <v>11.493399999999999</v>
      </c>
      <c r="D3">
        <v>11.6549</v>
      </c>
      <c r="E3">
        <v>12.3714</v>
      </c>
      <c r="F3">
        <v>14.9091</v>
      </c>
      <c r="H3">
        <f>F3-B3</f>
        <v>3.4649999999999999</v>
      </c>
      <c r="I3">
        <f>SIGN(H3)</f>
        <v>1</v>
      </c>
    </row>
    <row r="4" spans="1:9" x14ac:dyDescent="0.2">
      <c r="A4" t="s">
        <v>1</v>
      </c>
      <c r="B4">
        <v>11.686299999999999</v>
      </c>
      <c r="C4">
        <v>14.805199999999999</v>
      </c>
      <c r="D4">
        <v>17.636199999999999</v>
      </c>
      <c r="E4">
        <v>14.283099999999999</v>
      </c>
      <c r="F4">
        <v>16.831099999999999</v>
      </c>
      <c r="H4">
        <f t="shared" ref="H4:H53" si="0">F4-B4</f>
        <v>5.1448</v>
      </c>
      <c r="I4">
        <f t="shared" ref="I4:I53" si="1">SIGN(H4)</f>
        <v>1</v>
      </c>
    </row>
    <row r="5" spans="1:9" x14ac:dyDescent="0.2">
      <c r="A5" t="s">
        <v>2</v>
      </c>
      <c r="B5">
        <v>17.177700000000002</v>
      </c>
      <c r="C5">
        <v>16.5214</v>
      </c>
      <c r="D5">
        <v>17.304400000000001</v>
      </c>
      <c r="E5">
        <v>18.440799999999999</v>
      </c>
      <c r="F5">
        <v>17.990100000000002</v>
      </c>
      <c r="H5">
        <f t="shared" si="0"/>
        <v>0.81240000000000023</v>
      </c>
      <c r="I5">
        <f t="shared" si="1"/>
        <v>1</v>
      </c>
    </row>
    <row r="6" spans="1:9" x14ac:dyDescent="0.2">
      <c r="A6" t="s">
        <v>3</v>
      </c>
      <c r="B6">
        <v>12.0031</v>
      </c>
      <c r="C6">
        <v>12.0831</v>
      </c>
      <c r="D6">
        <v>12.6478</v>
      </c>
      <c r="E6">
        <v>10.779299999999999</v>
      </c>
      <c r="F6">
        <v>12.001200000000001</v>
      </c>
      <c r="H6">
        <f t="shared" si="0"/>
        <v>-1.8999999999991246E-3</v>
      </c>
      <c r="I6">
        <f t="shared" si="1"/>
        <v>-1</v>
      </c>
    </row>
    <row r="7" spans="1:9" x14ac:dyDescent="0.2">
      <c r="A7" t="s">
        <v>4</v>
      </c>
      <c r="B7">
        <v>10.8901</v>
      </c>
      <c r="C7">
        <v>11.0899</v>
      </c>
      <c r="D7">
        <v>10.62</v>
      </c>
      <c r="E7">
        <v>11.6142</v>
      </c>
      <c r="F7">
        <v>11.651300000000001</v>
      </c>
      <c r="H7">
        <f t="shared" si="0"/>
        <v>0.76120000000000054</v>
      </c>
      <c r="I7">
        <f t="shared" si="1"/>
        <v>1</v>
      </c>
    </row>
    <row r="8" spans="1:9" x14ac:dyDescent="0.2">
      <c r="A8" t="s">
        <v>5</v>
      </c>
      <c r="B8">
        <v>13.004099999999999</v>
      </c>
      <c r="C8">
        <v>16.475200000000001</v>
      </c>
      <c r="D8">
        <v>15.5564</v>
      </c>
      <c r="E8">
        <v>16.0581</v>
      </c>
      <c r="F8">
        <v>16.785299999999999</v>
      </c>
      <c r="H8">
        <f t="shared" si="0"/>
        <v>3.7812000000000001</v>
      </c>
      <c r="I8">
        <f t="shared" si="1"/>
        <v>1</v>
      </c>
    </row>
    <row r="9" spans="1:9" x14ac:dyDescent="0.2">
      <c r="A9" t="s">
        <v>6</v>
      </c>
      <c r="B9">
        <v>10.1564</v>
      </c>
      <c r="C9">
        <v>11.226800000000001</v>
      </c>
      <c r="D9">
        <v>12.2272</v>
      </c>
      <c r="E9">
        <v>16.1843</v>
      </c>
      <c r="F9">
        <v>17.3215</v>
      </c>
      <c r="H9">
        <f t="shared" si="0"/>
        <v>7.1651000000000007</v>
      </c>
      <c r="I9">
        <f t="shared" si="1"/>
        <v>1</v>
      </c>
    </row>
    <row r="10" spans="1:9" x14ac:dyDescent="0.2">
      <c r="A10" t="s">
        <v>7</v>
      </c>
      <c r="B10">
        <v>16.148199999999999</v>
      </c>
      <c r="C10">
        <v>17.637899999999998</v>
      </c>
      <c r="D10">
        <v>15.374700000000001</v>
      </c>
      <c r="E10">
        <v>17.9314</v>
      </c>
      <c r="F10">
        <v>20.200600000000001</v>
      </c>
      <c r="H10">
        <f t="shared" si="0"/>
        <v>4.0524000000000022</v>
      </c>
      <c r="I10">
        <f t="shared" si="1"/>
        <v>1</v>
      </c>
    </row>
    <row r="11" spans="1:9" x14ac:dyDescent="0.2">
      <c r="A11" t="s">
        <v>8</v>
      </c>
      <c r="B11">
        <v>12.9628</v>
      </c>
      <c r="C11">
        <v>13.915900000000001</v>
      </c>
      <c r="D11">
        <v>12.177300000000001</v>
      </c>
      <c r="E11">
        <v>15.778499999999999</v>
      </c>
      <c r="F11">
        <v>14.569900000000001</v>
      </c>
      <c r="H11">
        <f t="shared" si="0"/>
        <v>1.6071000000000009</v>
      </c>
      <c r="I11">
        <f t="shared" si="1"/>
        <v>1</v>
      </c>
    </row>
    <row r="12" spans="1:9" x14ac:dyDescent="0.2">
      <c r="A12" t="s">
        <v>9</v>
      </c>
      <c r="B12">
        <v>16.280799999999999</v>
      </c>
      <c r="C12">
        <v>15.311500000000001</v>
      </c>
      <c r="D12">
        <v>13.4437</v>
      </c>
      <c r="E12">
        <v>12.652900000000001</v>
      </c>
      <c r="F12">
        <v>13.240600000000001</v>
      </c>
      <c r="H12">
        <f t="shared" si="0"/>
        <v>-3.0401999999999987</v>
      </c>
      <c r="I12">
        <f t="shared" si="1"/>
        <v>-1</v>
      </c>
    </row>
    <row r="13" spans="1:9" x14ac:dyDescent="0.2">
      <c r="A13" t="s">
        <v>10</v>
      </c>
      <c r="B13">
        <v>10.879799999999999</v>
      </c>
      <c r="C13">
        <v>10.779199999999999</v>
      </c>
      <c r="D13">
        <v>10.645200000000001</v>
      </c>
      <c r="E13">
        <v>10.9886</v>
      </c>
      <c r="F13">
        <v>11.9437</v>
      </c>
      <c r="H13">
        <f t="shared" si="0"/>
        <v>1.0639000000000003</v>
      </c>
      <c r="I13">
        <f t="shared" si="1"/>
        <v>1</v>
      </c>
    </row>
    <row r="14" spans="1:9" x14ac:dyDescent="0.2">
      <c r="A14" t="s">
        <v>11</v>
      </c>
      <c r="B14">
        <v>11.1005</v>
      </c>
      <c r="C14">
        <v>13.092700000000001</v>
      </c>
      <c r="D14">
        <v>11.1326</v>
      </c>
      <c r="E14">
        <v>11.2531</v>
      </c>
      <c r="F14">
        <v>11.059799999999999</v>
      </c>
      <c r="H14">
        <f t="shared" si="0"/>
        <v>-4.0700000000001069E-2</v>
      </c>
      <c r="I14">
        <f t="shared" si="1"/>
        <v>-1</v>
      </c>
    </row>
    <row r="15" spans="1:9" x14ac:dyDescent="0.2">
      <c r="A15" t="s">
        <v>12</v>
      </c>
      <c r="B15">
        <v>11.3551</v>
      </c>
      <c r="C15">
        <v>12.1768</v>
      </c>
      <c r="D15">
        <v>11.3428</v>
      </c>
      <c r="E15">
        <v>12.8401</v>
      </c>
      <c r="F15">
        <v>12.970599999999999</v>
      </c>
      <c r="H15">
        <f t="shared" si="0"/>
        <v>1.615499999999999</v>
      </c>
      <c r="I15">
        <f t="shared" si="1"/>
        <v>1</v>
      </c>
    </row>
    <row r="16" spans="1:9" x14ac:dyDescent="0.2">
      <c r="A16" t="s">
        <v>13</v>
      </c>
      <c r="B16">
        <v>10.038500000000001</v>
      </c>
      <c r="C16">
        <v>10.940799999999999</v>
      </c>
      <c r="D16">
        <v>12.644399999999999</v>
      </c>
      <c r="E16">
        <v>12.257300000000001</v>
      </c>
      <c r="F16">
        <v>13.237</v>
      </c>
      <c r="H16">
        <f t="shared" si="0"/>
        <v>3.1984999999999992</v>
      </c>
      <c r="I16">
        <f t="shared" si="1"/>
        <v>1</v>
      </c>
    </row>
    <row r="17" spans="1:9" x14ac:dyDescent="0.2">
      <c r="A17" t="s">
        <v>14</v>
      </c>
      <c r="B17">
        <v>14.2972</v>
      </c>
      <c r="C17">
        <v>14.9611</v>
      </c>
      <c r="D17">
        <v>15.465</v>
      </c>
      <c r="E17">
        <v>16.192599999999999</v>
      </c>
      <c r="F17">
        <v>17.765999999999998</v>
      </c>
      <c r="H17">
        <f t="shared" si="0"/>
        <v>3.4687999999999981</v>
      </c>
      <c r="I17">
        <f t="shared" si="1"/>
        <v>1</v>
      </c>
    </row>
    <row r="18" spans="1:9" x14ac:dyDescent="0.2">
      <c r="A18" t="s">
        <v>15</v>
      </c>
      <c r="B18">
        <v>8.3049999999999997</v>
      </c>
      <c r="C18">
        <v>8.1638000000000002</v>
      </c>
      <c r="D18">
        <v>8.4250000000000007</v>
      </c>
      <c r="E18">
        <v>8.8985000000000003</v>
      </c>
      <c r="F18">
        <v>8.4966000000000008</v>
      </c>
      <c r="H18">
        <f t="shared" si="0"/>
        <v>0.1916000000000011</v>
      </c>
      <c r="I18">
        <f t="shared" si="1"/>
        <v>1</v>
      </c>
    </row>
    <row r="19" spans="1:9" x14ac:dyDescent="0.2">
      <c r="A19" t="s">
        <v>16</v>
      </c>
      <c r="B19">
        <v>9.4283000000000001</v>
      </c>
      <c r="C19">
        <v>9.7518999999999991</v>
      </c>
      <c r="D19">
        <v>11.0191</v>
      </c>
      <c r="E19">
        <v>11.4376</v>
      </c>
      <c r="F19">
        <v>11.432399999999999</v>
      </c>
      <c r="H19">
        <f t="shared" si="0"/>
        <v>2.0040999999999993</v>
      </c>
      <c r="I19">
        <f t="shared" si="1"/>
        <v>1</v>
      </c>
    </row>
    <row r="20" spans="1:9" x14ac:dyDescent="0.2">
      <c r="A20" t="s">
        <v>17</v>
      </c>
      <c r="B20">
        <v>23.206099999999999</v>
      </c>
      <c r="C20">
        <v>24.214099999999998</v>
      </c>
      <c r="D20">
        <v>24.609500000000001</v>
      </c>
      <c r="E20">
        <v>23.183900000000001</v>
      </c>
      <c r="F20">
        <v>24.4026</v>
      </c>
      <c r="H20">
        <f t="shared" si="0"/>
        <v>1.1965000000000003</v>
      </c>
      <c r="I20">
        <f t="shared" si="1"/>
        <v>1</v>
      </c>
    </row>
    <row r="21" spans="1:9" x14ac:dyDescent="0.2">
      <c r="A21" t="s">
        <v>18</v>
      </c>
      <c r="B21">
        <v>13.0367</v>
      </c>
      <c r="C21">
        <v>13.1371</v>
      </c>
      <c r="D21">
        <v>12.299300000000001</v>
      </c>
      <c r="E21">
        <v>17.490100000000002</v>
      </c>
      <c r="F21">
        <v>16.710799999999999</v>
      </c>
      <c r="H21">
        <f t="shared" si="0"/>
        <v>3.6740999999999993</v>
      </c>
      <c r="I21">
        <f t="shared" si="1"/>
        <v>1</v>
      </c>
    </row>
    <row r="22" spans="1:9" x14ac:dyDescent="0.2">
      <c r="A22" t="s">
        <v>19</v>
      </c>
      <c r="B22">
        <v>10.1629</v>
      </c>
      <c r="C22">
        <v>11.7453</v>
      </c>
      <c r="D22">
        <v>11.2851</v>
      </c>
      <c r="E22">
        <v>13.099399999999999</v>
      </c>
      <c r="F22">
        <v>16.2395</v>
      </c>
      <c r="H22">
        <f t="shared" si="0"/>
        <v>6.0765999999999991</v>
      </c>
      <c r="I22">
        <f t="shared" si="1"/>
        <v>1</v>
      </c>
    </row>
    <row r="23" spans="1:9" x14ac:dyDescent="0.2">
      <c r="A23" t="s">
        <v>20</v>
      </c>
      <c r="B23">
        <v>11.2582</v>
      </c>
      <c r="C23">
        <v>12.1305</v>
      </c>
      <c r="D23">
        <v>14.121700000000001</v>
      </c>
      <c r="E23">
        <v>15.045199999999999</v>
      </c>
      <c r="F23">
        <v>17.903700000000001</v>
      </c>
      <c r="H23">
        <f t="shared" si="0"/>
        <v>6.6455000000000002</v>
      </c>
      <c r="I23">
        <f t="shared" si="1"/>
        <v>1</v>
      </c>
    </row>
    <row r="24" spans="1:9" x14ac:dyDescent="0.2">
      <c r="A24" t="s">
        <v>21</v>
      </c>
      <c r="B24">
        <v>11.2713</v>
      </c>
      <c r="C24">
        <v>13.009399999999999</v>
      </c>
      <c r="D24">
        <v>12.924799999999999</v>
      </c>
      <c r="E24">
        <v>16.151599999999998</v>
      </c>
      <c r="F24">
        <v>19.109300000000001</v>
      </c>
      <c r="H24">
        <f t="shared" si="0"/>
        <v>7.838000000000001</v>
      </c>
      <c r="I24">
        <f t="shared" si="1"/>
        <v>1</v>
      </c>
    </row>
    <row r="25" spans="1:9" x14ac:dyDescent="0.2">
      <c r="A25" t="s">
        <v>22</v>
      </c>
      <c r="B25">
        <v>14.104100000000001</v>
      </c>
      <c r="C25">
        <v>14.033799999999999</v>
      </c>
      <c r="D25">
        <v>13.234400000000001</v>
      </c>
      <c r="E25">
        <v>15.6938</v>
      </c>
      <c r="F25">
        <v>17.780200000000001</v>
      </c>
      <c r="H25">
        <f t="shared" si="0"/>
        <v>3.6760999999999999</v>
      </c>
      <c r="I25">
        <f t="shared" si="1"/>
        <v>1</v>
      </c>
    </row>
    <row r="26" spans="1:9" x14ac:dyDescent="0.2">
      <c r="A26" t="s">
        <v>23</v>
      </c>
      <c r="B26">
        <v>7.4850000000000003</v>
      </c>
      <c r="C26">
        <v>9.5606000000000009</v>
      </c>
      <c r="D26">
        <v>8.9604999999999997</v>
      </c>
      <c r="E26">
        <v>9.6487999999999996</v>
      </c>
      <c r="F26">
        <v>9.4738000000000007</v>
      </c>
      <c r="H26">
        <f t="shared" si="0"/>
        <v>1.9888000000000003</v>
      </c>
      <c r="I26">
        <f t="shared" si="1"/>
        <v>1</v>
      </c>
    </row>
    <row r="27" spans="1:9" x14ac:dyDescent="0.2">
      <c r="A27" t="s">
        <v>24</v>
      </c>
      <c r="B27">
        <v>11.256</v>
      </c>
      <c r="C27">
        <v>10.1393</v>
      </c>
      <c r="D27">
        <v>10.3855</v>
      </c>
      <c r="E27">
        <v>10.564299999999999</v>
      </c>
      <c r="F27">
        <v>11.222099999999999</v>
      </c>
      <c r="H27">
        <f t="shared" si="0"/>
        <v>-3.3900000000000929E-2</v>
      </c>
      <c r="I27">
        <f t="shared" si="1"/>
        <v>-1</v>
      </c>
    </row>
    <row r="28" spans="1:9" x14ac:dyDescent="0.2">
      <c r="A28" t="s">
        <v>25</v>
      </c>
      <c r="B28">
        <v>16.664100000000001</v>
      </c>
      <c r="C28">
        <v>16.0215</v>
      </c>
      <c r="D28">
        <v>15.6427</v>
      </c>
      <c r="E28">
        <v>16.958500000000001</v>
      </c>
      <c r="F28">
        <v>17.596800000000002</v>
      </c>
      <c r="H28">
        <f t="shared" si="0"/>
        <v>0.93270000000000053</v>
      </c>
      <c r="I28">
        <f t="shared" si="1"/>
        <v>1</v>
      </c>
    </row>
    <row r="29" spans="1:9" x14ac:dyDescent="0.2">
      <c r="A29" t="s">
        <v>26</v>
      </c>
      <c r="B29">
        <v>11.9262</v>
      </c>
      <c r="C29">
        <v>14.125400000000001</v>
      </c>
      <c r="D29">
        <v>11.739599999999999</v>
      </c>
      <c r="E29">
        <v>13.4953</v>
      </c>
      <c r="F29">
        <v>12.2121</v>
      </c>
      <c r="H29">
        <f t="shared" si="0"/>
        <v>0.28589999999999982</v>
      </c>
      <c r="I29">
        <f t="shared" si="1"/>
        <v>1</v>
      </c>
    </row>
    <row r="30" spans="1:9" x14ac:dyDescent="0.2">
      <c r="A30" t="s">
        <v>27</v>
      </c>
      <c r="B30">
        <v>6.4062999999999999</v>
      </c>
      <c r="C30">
        <v>7.0007999999999999</v>
      </c>
      <c r="D30">
        <v>7.8684000000000003</v>
      </c>
      <c r="E30">
        <v>6.2617000000000003</v>
      </c>
      <c r="F30">
        <v>6.6436000000000002</v>
      </c>
      <c r="H30">
        <f t="shared" si="0"/>
        <v>0.23730000000000029</v>
      </c>
      <c r="I30">
        <f t="shared" si="1"/>
        <v>1</v>
      </c>
    </row>
    <row r="31" spans="1:9" x14ac:dyDescent="0.2">
      <c r="A31" t="s">
        <v>28</v>
      </c>
      <c r="B31">
        <v>21.402999999999999</v>
      </c>
      <c r="C31">
        <v>23.463999999999999</v>
      </c>
      <c r="D31">
        <v>21.82</v>
      </c>
      <c r="E31">
        <v>22.0061</v>
      </c>
      <c r="F31">
        <v>19.196200000000001</v>
      </c>
      <c r="H31">
        <f t="shared" si="0"/>
        <v>-2.2067999999999977</v>
      </c>
      <c r="I31">
        <f t="shared" si="1"/>
        <v>-1</v>
      </c>
    </row>
    <row r="32" spans="1:9" x14ac:dyDescent="0.2">
      <c r="A32" t="s">
        <v>29</v>
      </c>
      <c r="B32">
        <v>12.153700000000001</v>
      </c>
      <c r="C32">
        <v>15.930899999999999</v>
      </c>
      <c r="D32">
        <v>13.0989</v>
      </c>
      <c r="E32">
        <v>15.3386</v>
      </c>
      <c r="F32">
        <v>25.173100000000002</v>
      </c>
      <c r="H32">
        <f t="shared" si="0"/>
        <v>13.019400000000001</v>
      </c>
      <c r="I32">
        <f t="shared" si="1"/>
        <v>1</v>
      </c>
    </row>
    <row r="33" spans="1:9" x14ac:dyDescent="0.2">
      <c r="A33" t="s">
        <v>30</v>
      </c>
      <c r="B33">
        <v>9.8727</v>
      </c>
      <c r="C33">
        <v>11.4724</v>
      </c>
      <c r="D33">
        <v>13.7852</v>
      </c>
      <c r="E33">
        <v>14.5404</v>
      </c>
      <c r="F33">
        <v>14.0185</v>
      </c>
      <c r="H33">
        <f t="shared" si="0"/>
        <v>4.1457999999999995</v>
      </c>
      <c r="I33">
        <f t="shared" si="1"/>
        <v>1</v>
      </c>
    </row>
    <row r="34" spans="1:9" x14ac:dyDescent="0.2">
      <c r="A34" t="s">
        <v>31</v>
      </c>
      <c r="B34">
        <v>23.213100000000001</v>
      </c>
      <c r="C34">
        <v>25.4055</v>
      </c>
      <c r="D34">
        <v>23.591000000000001</v>
      </c>
      <c r="E34">
        <v>21.9634</v>
      </c>
      <c r="F34">
        <v>26.227799999999998</v>
      </c>
      <c r="H34">
        <f t="shared" si="0"/>
        <v>3.0146999999999977</v>
      </c>
      <c r="I34">
        <f t="shared" si="1"/>
        <v>1</v>
      </c>
    </row>
    <row r="35" spans="1:9" x14ac:dyDescent="0.2">
      <c r="A35" t="s">
        <v>32</v>
      </c>
      <c r="B35">
        <v>8.0348000000000006</v>
      </c>
      <c r="C35">
        <v>10.0076</v>
      </c>
      <c r="D35">
        <v>10.761200000000001</v>
      </c>
      <c r="E35">
        <v>11.75</v>
      </c>
      <c r="F35">
        <v>11.6478</v>
      </c>
      <c r="H35">
        <f t="shared" si="0"/>
        <v>3.6129999999999995</v>
      </c>
      <c r="I35">
        <f t="shared" si="1"/>
        <v>1</v>
      </c>
    </row>
    <row r="36" spans="1:9" x14ac:dyDescent="0.2">
      <c r="A36" t="s">
        <v>33</v>
      </c>
      <c r="B36">
        <v>11.4625</v>
      </c>
      <c r="C36">
        <v>13.0898</v>
      </c>
      <c r="D36">
        <v>13.31</v>
      </c>
      <c r="E36">
        <v>12.7842</v>
      </c>
      <c r="F36">
        <v>13.656499999999999</v>
      </c>
      <c r="H36">
        <f t="shared" si="0"/>
        <v>2.1939999999999991</v>
      </c>
      <c r="I36">
        <f t="shared" si="1"/>
        <v>1</v>
      </c>
    </row>
    <row r="37" spans="1:9" x14ac:dyDescent="0.2">
      <c r="A37" t="s">
        <v>34</v>
      </c>
      <c r="B37">
        <v>3.4196</v>
      </c>
      <c r="C37">
        <v>2.3393999999999999</v>
      </c>
      <c r="D37">
        <v>3.0015999999999998</v>
      </c>
      <c r="E37">
        <v>2.7646999999999999</v>
      </c>
      <c r="F37">
        <v>5.8148999999999997</v>
      </c>
      <c r="H37">
        <f t="shared" si="0"/>
        <v>2.3952999999999998</v>
      </c>
      <c r="I37">
        <f t="shared" si="1"/>
        <v>1</v>
      </c>
    </row>
    <row r="38" spans="1:9" x14ac:dyDescent="0.2">
      <c r="A38" t="s">
        <v>35</v>
      </c>
      <c r="B38">
        <v>15.906000000000001</v>
      </c>
      <c r="C38">
        <v>17.540099999999999</v>
      </c>
      <c r="D38">
        <v>18.407499999999999</v>
      </c>
      <c r="E38">
        <v>20.283799999999999</v>
      </c>
      <c r="F38">
        <v>23.667100000000001</v>
      </c>
      <c r="H38">
        <f t="shared" si="0"/>
        <v>7.7611000000000008</v>
      </c>
      <c r="I38">
        <f t="shared" si="1"/>
        <v>1</v>
      </c>
    </row>
    <row r="39" spans="1:9" x14ac:dyDescent="0.2">
      <c r="A39" t="s">
        <v>36</v>
      </c>
      <c r="B39">
        <v>19.113099999999999</v>
      </c>
      <c r="C39">
        <v>18.541399999999999</v>
      </c>
      <c r="D39">
        <v>20.210699999999999</v>
      </c>
      <c r="E39">
        <v>20.516500000000001</v>
      </c>
      <c r="F39">
        <v>20.035799999999998</v>
      </c>
      <c r="H39">
        <f t="shared" si="0"/>
        <v>0.92269999999999897</v>
      </c>
      <c r="I39">
        <f t="shared" si="1"/>
        <v>1</v>
      </c>
    </row>
    <row r="40" spans="1:9" x14ac:dyDescent="0.2">
      <c r="A40" t="s">
        <v>37</v>
      </c>
      <c r="B40">
        <v>13.1295</v>
      </c>
      <c r="C40">
        <v>13.7402</v>
      </c>
      <c r="D40">
        <v>12.5662</v>
      </c>
      <c r="E40">
        <v>11.577400000000001</v>
      </c>
      <c r="F40">
        <v>13.1478</v>
      </c>
      <c r="H40">
        <f t="shared" si="0"/>
        <v>1.8299999999999983E-2</v>
      </c>
      <c r="I40">
        <f t="shared" si="1"/>
        <v>1</v>
      </c>
    </row>
    <row r="41" spans="1:9" x14ac:dyDescent="0.2">
      <c r="A41" t="s">
        <v>38</v>
      </c>
      <c r="B41">
        <v>15.0838</v>
      </c>
      <c r="C41">
        <v>17.963000000000001</v>
      </c>
      <c r="D41">
        <v>18.529299999999999</v>
      </c>
      <c r="E41">
        <v>18.992000000000001</v>
      </c>
      <c r="F41">
        <v>21.365100000000002</v>
      </c>
      <c r="H41">
        <f t="shared" si="0"/>
        <v>6.2813000000000017</v>
      </c>
      <c r="I41">
        <f t="shared" si="1"/>
        <v>1</v>
      </c>
    </row>
    <row r="42" spans="1:9" x14ac:dyDescent="0.2">
      <c r="A42" t="s">
        <v>39</v>
      </c>
      <c r="B42">
        <v>15.866</v>
      </c>
      <c r="C42">
        <v>18.072800000000001</v>
      </c>
      <c r="D42">
        <v>18.6615</v>
      </c>
      <c r="E42">
        <v>22.9194</v>
      </c>
      <c r="F42">
        <v>23.4085</v>
      </c>
      <c r="H42">
        <f t="shared" si="0"/>
        <v>7.5425000000000004</v>
      </c>
      <c r="I42">
        <f t="shared" si="1"/>
        <v>1</v>
      </c>
    </row>
    <row r="43" spans="1:9" x14ac:dyDescent="0.2">
      <c r="A43" t="s">
        <v>40</v>
      </c>
      <c r="B43">
        <v>14.658300000000001</v>
      </c>
      <c r="C43">
        <v>13.2073</v>
      </c>
      <c r="D43">
        <v>12.426600000000001</v>
      </c>
      <c r="E43">
        <v>12.9847</v>
      </c>
      <c r="F43">
        <v>14.506</v>
      </c>
      <c r="H43">
        <f t="shared" si="0"/>
        <v>-0.15230000000000032</v>
      </c>
      <c r="I43">
        <f t="shared" si="1"/>
        <v>-1</v>
      </c>
    </row>
    <row r="44" spans="1:9" x14ac:dyDescent="0.2">
      <c r="A44" t="s">
        <v>41</v>
      </c>
      <c r="B44">
        <v>5.5270000000000001</v>
      </c>
      <c r="C44">
        <v>6.9168000000000003</v>
      </c>
      <c r="D44">
        <v>5.0399000000000003</v>
      </c>
      <c r="E44">
        <v>6.5098000000000003</v>
      </c>
      <c r="F44">
        <v>7.3841999999999999</v>
      </c>
      <c r="H44">
        <f t="shared" si="0"/>
        <v>1.8571999999999997</v>
      </c>
      <c r="I44">
        <f t="shared" si="1"/>
        <v>1</v>
      </c>
    </row>
    <row r="45" spans="1:9" x14ac:dyDescent="0.2">
      <c r="A45" t="s">
        <v>42</v>
      </c>
      <c r="B45">
        <v>17.0183</v>
      </c>
      <c r="C45">
        <v>17.022300000000001</v>
      </c>
      <c r="D45">
        <v>17.517900000000001</v>
      </c>
      <c r="E45">
        <v>18.2728</v>
      </c>
      <c r="F45">
        <v>19.376000000000001</v>
      </c>
      <c r="H45">
        <f t="shared" si="0"/>
        <v>2.3577000000000012</v>
      </c>
      <c r="I45">
        <f t="shared" si="1"/>
        <v>1</v>
      </c>
    </row>
    <row r="46" spans="1:9" x14ac:dyDescent="0.2">
      <c r="A46" t="s">
        <v>43</v>
      </c>
      <c r="B46">
        <v>9.5404999999999998</v>
      </c>
      <c r="C46">
        <v>10.0839</v>
      </c>
      <c r="D46">
        <v>9.3902000000000001</v>
      </c>
      <c r="E46">
        <v>9.2483000000000004</v>
      </c>
      <c r="F46">
        <v>9.6486999999999998</v>
      </c>
      <c r="H46">
        <f t="shared" si="0"/>
        <v>0.10820000000000007</v>
      </c>
      <c r="I46">
        <f t="shared" si="1"/>
        <v>1</v>
      </c>
    </row>
    <row r="47" spans="1:9" x14ac:dyDescent="0.2">
      <c r="A47" t="s">
        <v>44</v>
      </c>
      <c r="B47">
        <v>15.666399999999999</v>
      </c>
      <c r="C47">
        <v>17.89</v>
      </c>
      <c r="D47">
        <v>21.0487</v>
      </c>
      <c r="E47">
        <v>20.476600000000001</v>
      </c>
      <c r="F47">
        <v>20.49</v>
      </c>
      <c r="H47">
        <f t="shared" si="0"/>
        <v>4.823599999999999</v>
      </c>
      <c r="I47">
        <f t="shared" si="1"/>
        <v>1</v>
      </c>
    </row>
    <row r="48" spans="1:9" x14ac:dyDescent="0.2">
      <c r="A48" t="s">
        <v>45</v>
      </c>
      <c r="B48">
        <v>10.068099999999999</v>
      </c>
      <c r="C48">
        <v>13.249700000000001</v>
      </c>
      <c r="D48">
        <v>11.181900000000001</v>
      </c>
      <c r="E48">
        <v>14.8413</v>
      </c>
      <c r="F48">
        <v>13.2469</v>
      </c>
      <c r="H48">
        <f t="shared" si="0"/>
        <v>3.1788000000000007</v>
      </c>
      <c r="I48">
        <f t="shared" si="1"/>
        <v>1</v>
      </c>
    </row>
    <row r="49" spans="1:9" x14ac:dyDescent="0.2">
      <c r="A49" t="s">
        <v>46</v>
      </c>
      <c r="B49">
        <v>6.9741</v>
      </c>
      <c r="C49">
        <v>9.8559999999999999</v>
      </c>
      <c r="D49">
        <v>8.9544999999999995</v>
      </c>
      <c r="E49">
        <v>10.3385</v>
      </c>
      <c r="F49">
        <v>11.7699</v>
      </c>
      <c r="H49">
        <f t="shared" si="0"/>
        <v>4.7957999999999998</v>
      </c>
      <c r="I49">
        <f t="shared" si="1"/>
        <v>1</v>
      </c>
    </row>
    <row r="50" spans="1:9" x14ac:dyDescent="0.2">
      <c r="A50" t="s">
        <v>47</v>
      </c>
      <c r="B50">
        <v>13.621700000000001</v>
      </c>
      <c r="C50">
        <v>14.597300000000001</v>
      </c>
      <c r="D50">
        <v>14.281499999999999</v>
      </c>
      <c r="E50">
        <v>13.8996</v>
      </c>
      <c r="F50">
        <v>13.863899999999999</v>
      </c>
      <c r="H50">
        <f t="shared" si="0"/>
        <v>0.24219999999999864</v>
      </c>
      <c r="I50">
        <f t="shared" si="1"/>
        <v>1</v>
      </c>
    </row>
    <row r="51" spans="1:9" x14ac:dyDescent="0.2">
      <c r="A51" t="s">
        <v>48</v>
      </c>
      <c r="B51">
        <v>27.631</v>
      </c>
      <c r="C51">
        <v>34.225099999999998</v>
      </c>
      <c r="D51">
        <v>30.074200000000001</v>
      </c>
      <c r="E51">
        <v>30.7393</v>
      </c>
      <c r="F51">
        <v>33.885899999999999</v>
      </c>
      <c r="H51">
        <f t="shared" si="0"/>
        <v>6.2548999999999992</v>
      </c>
      <c r="I51">
        <f t="shared" si="1"/>
        <v>1</v>
      </c>
    </row>
    <row r="52" spans="1:9" x14ac:dyDescent="0.2">
      <c r="A52" t="s">
        <v>49</v>
      </c>
      <c r="B52">
        <v>11.0779</v>
      </c>
      <c r="C52">
        <v>12.2204</v>
      </c>
      <c r="D52">
        <v>12.0844</v>
      </c>
      <c r="E52">
        <v>14.905799999999999</v>
      </c>
      <c r="F52">
        <v>14.815300000000001</v>
      </c>
      <c r="H52">
        <f t="shared" si="0"/>
        <v>3.7374000000000009</v>
      </c>
      <c r="I52">
        <f t="shared" si="1"/>
        <v>1</v>
      </c>
    </row>
    <row r="53" spans="1:9" x14ac:dyDescent="0.2">
      <c r="A53" t="s">
        <v>50</v>
      </c>
      <c r="B53">
        <v>15.0809</v>
      </c>
      <c r="C53">
        <v>14.960599999999999</v>
      </c>
      <c r="D53">
        <v>17.0017</v>
      </c>
      <c r="E53">
        <v>16.819500000000001</v>
      </c>
      <c r="F53">
        <v>18.659500000000001</v>
      </c>
      <c r="H53">
        <f t="shared" si="0"/>
        <v>3.5786000000000016</v>
      </c>
      <c r="I53">
        <f t="shared" si="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Health Care Spending per State</vt:lpstr>
      <vt:lpstr>Drug Mortality Rates per State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Natasha Mathur</dc:creator>
  <cp:lastModifiedBy>Natasha Mathur</cp:lastModifiedBy>
  <dcterms:created xsi:type="dcterms:W3CDTF">2018-03-29T06:38:56Z</dcterms:created>
  <dcterms:modified xsi:type="dcterms:W3CDTF">2018-03-29T07:21:45Z</dcterms:modified>
</cp:coreProperties>
</file>